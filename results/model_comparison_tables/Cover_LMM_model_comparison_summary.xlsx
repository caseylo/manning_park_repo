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sey\Desktop\Honours_Thesis\Manning_park_project\results\"/>
    </mc:Choice>
  </mc:AlternateContent>
  <xr:revisionPtr revIDLastSave="0" documentId="13_ncr:1_{B78C97A4-D48A-4E44-8F0D-5F08843D7C44}" xr6:coauthVersionLast="47" xr6:coauthVersionMax="47" xr10:uidLastSave="{00000000-0000-0000-0000-000000000000}"/>
  <bookViews>
    <workbookView xWindow="11442" yWindow="0" windowWidth="11676" windowHeight="12318" xr2:uid="{00000000-000D-0000-FFFF-FFFF00000000}"/>
  </bookViews>
  <sheets>
    <sheet name="Model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 a="1"/>
  <c r="A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<sst xmlns="http://schemas.openxmlformats.org/spreadsheetml/2006/main" count="159" uniqueCount="96">
  <si>
    <t>Model</t>
  </si>
  <si>
    <t>Random Effects</t>
  </si>
  <si>
    <t>Biological Question</t>
  </si>
  <si>
    <t>AIC (Full)</t>
  </si>
  <si>
    <t>Convergence</t>
  </si>
  <si>
    <t>Interpretation</t>
  </si>
  <si>
    <t>cov1</t>
  </si>
  <si>
    <t>(1|Species)</t>
  </si>
  <si>
    <t>Yes</t>
  </si>
  <si>
    <t>Interaction supported; weak overall fit.</t>
  </si>
  <si>
    <t>cov2</t>
  </si>
  <si>
    <t>(Elev_sc|Species)</t>
  </si>
  <si>
    <t>Big AIC gain vs cov1; interaction supported.</t>
  </si>
  <si>
    <t>cov3</t>
  </si>
  <si>
    <t>cov3.1</t>
  </si>
  <si>
    <t>No interaction support; reduced preferred.</t>
  </si>
  <si>
    <t>cov3.2</t>
  </si>
  <si>
    <t>cov4</t>
  </si>
  <si>
    <t>cov5.1</t>
  </si>
  <si>
    <t>Lowest AIC, but no interaction; reduced preferred.</t>
  </si>
  <si>
    <t>cov5.2</t>
  </si>
  <si>
    <t>(Elev_sc|Species) + (1|PlotNumber)</t>
  </si>
  <si>
    <t>(Elev_sc|Species) + (1|PlotNumber) + (1|ProjectID)</t>
  </si>
  <si>
    <t>(Elev_sc|Species) + (1|ProjectID)</t>
  </si>
  <si>
    <t>(poly(Elev_sc),2|Species) + (1|PlotNumber)</t>
  </si>
  <si>
    <t>(poly(Elev_sc),2|Species) + (1|PlotNumber) + (1|ProjectID)</t>
  </si>
  <si>
    <t>(poly(Elev_sc),2|Species)</t>
  </si>
  <si>
    <t>(poly(Elev_sc),2|Species) + (1|ProjectID)</t>
  </si>
  <si>
    <t>As mod2, plus does only plot-level clustering explain additional variation?</t>
  </si>
  <si>
    <t>As mod2, plus does project-level clustering explain variation beyond plots and species?</t>
  </si>
  <si>
    <t>As mod2, plus does only project-level clustering explain variation?</t>
  </si>
  <si>
    <t>As mod4, plus does only plot-level clustering explain additional variation?</t>
  </si>
  <si>
    <t>As mod4, plus does project-level clustering explain variation beyond plots and species?</t>
  </si>
  <si>
    <t>As mod4, plus does only project-level clustering explain variation?</t>
  </si>
  <si>
    <t>Do species cover change over time and do temporal changes vary nonlinearly across elevation?</t>
  </si>
  <si>
    <t>Do species cover differ in their (linear) elevation response and does that response change over time?</t>
  </si>
  <si>
    <t>Do species cover differ in their linear and quadratic elevation response and does that response change over time?</t>
  </si>
  <si>
    <t>No interaction; reduced preferred.</t>
  </si>
  <si>
    <t>Interaction, but reduced model did not converge.</t>
  </si>
  <si>
    <t>Almost no interaction; reduced model did not converge.</t>
  </si>
  <si>
    <t>Lowest AIC among models that converged and where the interaction model was preferred. Plot effect improves fit; interaction supported.</t>
  </si>
  <si>
    <t>Fixed Effect</t>
  </si>
  <si>
    <t>logCover ~ Time_sc * poly(Elevation_sc, 2, raw = TRUE)</t>
  </si>
  <si>
    <t>cov6</t>
  </si>
  <si>
    <t>cov6.1</t>
  </si>
  <si>
    <t>cov7</t>
  </si>
  <si>
    <t>cov7.1</t>
  </si>
  <si>
    <t>(Elev|Species) + (1|SiteSurveyor)</t>
  </si>
  <si>
    <t>(poly(Elev_sc),2|Species) + (1|SiteSurveyor)</t>
  </si>
  <si>
    <t>(poly(Elev_sc),2|Species) + (1|PlotNumber) + (1|SiteSurveyor)</t>
  </si>
  <si>
    <t>(Elev|Species) + (1|PlotNumber) + (1|SiteSurveyor)</t>
  </si>
  <si>
    <t>As mod3, plus does SiteSurveyor explain additional variation?</t>
  </si>
  <si>
    <t>As mod2, plus does SiteSurveyor explain additional variation?</t>
  </si>
  <si>
    <t>As mod4, plus does SiteSurveyor explain additional variation?</t>
  </si>
  <si>
    <t>As mod5, plus does SiteSurveyor explain additional variation?</t>
  </si>
  <si>
    <t>SiteSurveyor did not improve model fit</t>
  </si>
  <si>
    <t>cov8</t>
  </si>
  <si>
    <t>cov9</t>
  </si>
  <si>
    <t>cov8.1</t>
  </si>
  <si>
    <t>cov8.3</t>
  </si>
  <si>
    <t>cov8.2</t>
  </si>
  <si>
    <t>Does lat/long improve linear model</t>
  </si>
  <si>
    <t>Does lat/long and ProjectID improve linear model</t>
  </si>
  <si>
    <t>Does lat/long and PlotNumber improve linear model</t>
  </si>
  <si>
    <t>Does lat/longand ProjectID and PlotNumber improve linear model</t>
  </si>
  <si>
    <t>Does lat/long improve quadratic model</t>
  </si>
  <si>
    <t xml:space="preserve">(Elevation_sc | Species)   </t>
  </si>
  <si>
    <t>logCover ~ Time_sc * poly(Elevation_sc, 2, raw = TRUE) + Lat_sc + Lon_sc</t>
  </si>
  <si>
    <t>(Elevation_sc | Species)  + (1|PlotNumber)</t>
  </si>
  <si>
    <t>(Elevation_sc | Species)  + (1|ProjectID)</t>
  </si>
  <si>
    <t>(Elevation_sc | Species) + (1|ProjectID) + (1|PlotNumber)</t>
  </si>
  <si>
    <t>cov9.1</t>
  </si>
  <si>
    <t>Does lat/long and ProjectID improve quadratic model</t>
  </si>
  <si>
    <t>cov9.2</t>
  </si>
  <si>
    <t>Does lat/long and PlotNumber improve  quadratic model</t>
  </si>
  <si>
    <t>cov9.3</t>
  </si>
  <si>
    <t>Does lat/long and ProjectID and PlotNumber improve  quadratic model</t>
  </si>
  <si>
    <t>cov9.4</t>
  </si>
  <si>
    <t>logCover ~ Time_sc * poly(Elevation_sc, 2, raw = TRUE) + Lat_sc</t>
  </si>
  <si>
    <t>Does lat only improve quadratic model</t>
  </si>
  <si>
    <t>cov9.5</t>
  </si>
  <si>
    <t>logCover ~ Time_sc * poly(Elevation_sc, 2, raw = TRUE) + Lon_sc</t>
  </si>
  <si>
    <t>Does long only improve quadratic model</t>
  </si>
  <si>
    <t>(poly(Elev_sc),2|Species) + (1|PlotNumber) +(1|ProjectID)</t>
  </si>
  <si>
    <t>Is Singular</t>
  </si>
  <si>
    <t>logCover ~ Time_sc * poly(Elevation_sc, 2, raw = TRUE)  + Lon_sc</t>
  </si>
  <si>
    <t>cov8.4</t>
  </si>
  <si>
    <t>cov8.5</t>
  </si>
  <si>
    <t>Does lat only improve linear model</t>
  </si>
  <si>
    <t>Does long only improve linear model</t>
  </si>
  <si>
    <t>cov10</t>
  </si>
  <si>
    <t>cov10.2</t>
  </si>
  <si>
    <t>cov10.1</t>
  </si>
  <si>
    <t>Does lat/long and SiteSurveyor improve quadratic model</t>
  </si>
  <si>
    <t>Does lat only and SiteSurveyor improve quadratic model</t>
  </si>
  <si>
    <t>Does long only and SiteSurveyor improve quadratic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</si>
</sst>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164" fontId="0" fillId="0" borderId="1" xfId="0" applyNumberFormat="1" applyBorder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3" borderId="3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164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0" fillId="3" borderId="0" xfId="0" applyFill="1" applyBorder="1" applyAlignment="1">
      <alignment wrapText="1"/>
    </xf>
    <xf numFmtId="0" fontId="0" fillId="4" borderId="0" xfId="0" applyFill="1" applyBorder="1" applyAlignment="1">
      <alignment horizontal="center" vertical="top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0" fillId="5" borderId="0" xfId="0" applyFill="1" applyBorder="1" applyAlignment="1">
      <alignment horizontal="center" vertical="top" wrapText="1"/>
    </xf>
    <xf numFmtId="0" fontId="0" fillId="5" borderId="0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21" zoomScale="84" workbookViewId="0">
      <pane xSplit="1" topLeftCell="C1" activePane="topRight" state="frozen"/>
      <selection pane="topRight" activeCell="J7" sqref="J7"/>
    </sheetView>
  </sheetViews>
  <sheetFormatPr defaultRowHeight="14.4" x14ac:dyDescent="0.55000000000000004"/>
  <cols>
    <col min="1" max="1" width="12" style="6" customWidth="1"/>
    <col min="2" max="2" width="56.7890625" style="6" customWidth="1"/>
    <col min="3" max="3" width="70" style="6" customWidth="1"/>
    <col min="4" max="4" width="30.89453125" style="6" customWidth="1"/>
    <col min="5" max="5" width="14" style="14" customWidth="1"/>
    <col min="6" max="6" width="14" style="7" customWidth="1"/>
    <col min="7" max="7" width="45" style="7" customWidth="1"/>
    <col min="8" max="16384" width="8.83984375" style="6"/>
  </cols>
  <sheetData>
    <row r="1" spans="1:7" x14ac:dyDescent="0.55000000000000004">
      <c r="A1" s="8" t="s">
        <v>0</v>
      </c>
      <c r="B1" s="3" t="s">
        <v>41</v>
      </c>
      <c r="C1" s="8" t="s">
        <v>1</v>
      </c>
      <c r="D1" s="8" t="s">
        <v>2</v>
      </c>
      <c r="E1" s="8" t="s">
        <v>4</v>
      </c>
      <c r="F1" s="11" t="s">
        <v>3</v>
      </c>
      <c r="G1" s="11" t="s">
        <v>5</v>
      </c>
    </row>
    <row r="2" spans="1:7" ht="43.2" x14ac:dyDescent="0.55000000000000004">
      <c r="A2" s="1" t="s">
        <v>6</v>
      </c>
      <c r="B2" s="2" t="s">
        <v>42</v>
      </c>
      <c r="C2" s="1" t="s">
        <v>7</v>
      </c>
      <c r="D2" s="2" t="s">
        <v>34</v>
      </c>
      <c r="E2" s="9" t="s">
        <v>8</v>
      </c>
      <c r="F2" s="5">
        <v>3624.913</v>
      </c>
      <c r="G2" s="12" t="s">
        <v>9</v>
      </c>
    </row>
    <row r="3" spans="1:7" ht="43.2" x14ac:dyDescent="0.55000000000000004">
      <c r="A3" s="1" t="s">
        <v>10</v>
      </c>
      <c r="B3" s="2" t="s">
        <v>42</v>
      </c>
      <c r="C3" s="1" t="s">
        <v>11</v>
      </c>
      <c r="D3" s="2" t="s">
        <v>35</v>
      </c>
      <c r="E3" s="9" t="s">
        <v>8</v>
      </c>
      <c r="F3" s="5">
        <v>3551.2109999999998</v>
      </c>
      <c r="G3" s="12" t="s">
        <v>12</v>
      </c>
    </row>
    <row r="4" spans="1:7" ht="43.2" x14ac:dyDescent="0.55000000000000004">
      <c r="A4" s="1" t="s">
        <v>13</v>
      </c>
      <c r="B4" s="2" t="s">
        <v>42</v>
      </c>
      <c r="C4" s="1" t="s">
        <v>21</v>
      </c>
      <c r="D4" s="2" t="s">
        <v>28</v>
      </c>
      <c r="E4" s="9" t="s">
        <v>8</v>
      </c>
      <c r="F4" s="5">
        <v>3545.2</v>
      </c>
      <c r="G4" s="12" t="s">
        <v>40</v>
      </c>
    </row>
    <row r="5" spans="1:7" ht="43.2" x14ac:dyDescent="0.55000000000000004">
      <c r="A5" s="1" t="s">
        <v>14</v>
      </c>
      <c r="B5" s="2" t="s">
        <v>42</v>
      </c>
      <c r="C5" s="1" t="s">
        <v>22</v>
      </c>
      <c r="D5" s="2" t="s">
        <v>29</v>
      </c>
      <c r="E5" s="9" t="s">
        <v>8</v>
      </c>
      <c r="F5" s="5">
        <v>3533.9</v>
      </c>
      <c r="G5" s="12" t="s">
        <v>15</v>
      </c>
    </row>
    <row r="6" spans="1:7" ht="28.8" x14ac:dyDescent="0.55000000000000004">
      <c r="A6" s="1" t="s">
        <v>16</v>
      </c>
      <c r="B6" s="2" t="s">
        <v>42</v>
      </c>
      <c r="C6" s="1" t="s">
        <v>23</v>
      </c>
      <c r="D6" s="2" t="s">
        <v>30</v>
      </c>
      <c r="E6" s="9" t="s">
        <v>8</v>
      </c>
      <c r="F6" s="5">
        <v>3533.7</v>
      </c>
      <c r="G6" s="12" t="s">
        <v>15</v>
      </c>
    </row>
    <row r="7" spans="1:7" ht="43.2" x14ac:dyDescent="0.55000000000000004">
      <c r="A7" s="1" t="s">
        <v>17</v>
      </c>
      <c r="B7" s="2" t="s">
        <v>42</v>
      </c>
      <c r="C7" s="1" t="s">
        <v>26</v>
      </c>
      <c r="D7" s="2" t="s">
        <v>36</v>
      </c>
      <c r="E7" s="9" t="s">
        <v>8</v>
      </c>
      <c r="F7" s="5">
        <v>3530.2</v>
      </c>
      <c r="G7" s="12" t="s">
        <v>39</v>
      </c>
    </row>
    <row r="8" spans="1:7" ht="43.2" x14ac:dyDescent="0.55000000000000004">
      <c r="A8" s="1" cm="1">
        <f t="array" aca="1" ref="A8" ca="1">+C17+1:1048576</f>
        <v>0</v>
      </c>
      <c r="B8" s="2" t="s">
        <v>42</v>
      </c>
      <c r="C8" s="1" t="s">
        <v>24</v>
      </c>
      <c r="D8" s="2" t="s">
        <v>31</v>
      </c>
      <c r="E8" s="9" t="s">
        <v>8</v>
      </c>
      <c r="F8" s="5">
        <v>3526.8</v>
      </c>
      <c r="G8" s="12" t="s">
        <v>38</v>
      </c>
    </row>
    <row r="9" spans="1:7" ht="43.2" x14ac:dyDescent="0.55000000000000004">
      <c r="A9" s="1" t="s">
        <v>18</v>
      </c>
      <c r="B9" s="2" t="s">
        <v>42</v>
      </c>
      <c r="C9" s="1" t="s">
        <v>25</v>
      </c>
      <c r="D9" s="2" t="s">
        <v>32</v>
      </c>
      <c r="E9" s="9" t="s">
        <v>8</v>
      </c>
      <c r="F9" s="5">
        <v>3514.8</v>
      </c>
      <c r="G9" s="12" t="s">
        <v>37</v>
      </c>
    </row>
    <row r="10" spans="1:7" s="22" customFormat="1" ht="28.8" x14ac:dyDescent="0.55000000000000004">
      <c r="A10" s="17" t="s">
        <v>20</v>
      </c>
      <c r="B10" s="18" t="s">
        <v>42</v>
      </c>
      <c r="C10" s="17" t="s">
        <v>27</v>
      </c>
      <c r="D10" s="18" t="s">
        <v>33</v>
      </c>
      <c r="E10" s="19" t="s">
        <v>8</v>
      </c>
      <c r="F10" s="20">
        <v>3513.5</v>
      </c>
      <c r="G10" s="21" t="s">
        <v>19</v>
      </c>
    </row>
    <row r="11" spans="1:7" ht="28.8" x14ac:dyDescent="0.55000000000000004">
      <c r="A11" s="4" t="s">
        <v>43</v>
      </c>
      <c r="B11" s="2" t="s">
        <v>42</v>
      </c>
      <c r="C11" s="1" t="s">
        <v>50</v>
      </c>
      <c r="D11" s="2" t="s">
        <v>51</v>
      </c>
      <c r="E11" s="10" t="s">
        <v>8</v>
      </c>
      <c r="F11" s="5">
        <v>3534.3389999999999</v>
      </c>
      <c r="G11" s="13" t="s">
        <v>55</v>
      </c>
    </row>
    <row r="12" spans="1:7" ht="28.8" x14ac:dyDescent="0.55000000000000004">
      <c r="A12" s="4" t="s">
        <v>44</v>
      </c>
      <c r="B12" s="2" t="s">
        <v>42</v>
      </c>
      <c r="C12" s="1" t="s">
        <v>47</v>
      </c>
      <c r="D12" s="6" t="s">
        <v>52</v>
      </c>
      <c r="E12" s="10" t="s">
        <v>8</v>
      </c>
      <c r="F12" s="7">
        <v>3533.6709999999998</v>
      </c>
      <c r="G12" s="13" t="s">
        <v>55</v>
      </c>
    </row>
    <row r="13" spans="1:7" ht="28.8" x14ac:dyDescent="0.55000000000000004">
      <c r="A13" s="4" t="s">
        <v>45</v>
      </c>
      <c r="B13" s="2" t="s">
        <v>42</v>
      </c>
      <c r="C13" s="1" t="s">
        <v>49</v>
      </c>
      <c r="D13" s="2" t="s">
        <v>54</v>
      </c>
      <c r="E13" s="10" t="s">
        <v>8</v>
      </c>
      <c r="F13" s="24">
        <v>3515.5129999999999</v>
      </c>
      <c r="G13" s="13" t="s">
        <v>55</v>
      </c>
    </row>
    <row r="14" spans="1:7" ht="28.8" x14ac:dyDescent="0.55000000000000004">
      <c r="A14" s="4" t="s">
        <v>46</v>
      </c>
      <c r="B14" s="2" t="s">
        <v>42</v>
      </c>
      <c r="C14" s="1" t="s">
        <v>48</v>
      </c>
      <c r="D14" s="15" t="s">
        <v>53</v>
      </c>
      <c r="E14" s="10" t="s">
        <v>8</v>
      </c>
      <c r="F14" s="24">
        <v>3513.93</v>
      </c>
      <c r="G14" s="13" t="s">
        <v>55</v>
      </c>
    </row>
    <row r="15" spans="1:7" ht="28.8" x14ac:dyDescent="0.55000000000000004">
      <c r="A15" s="4" t="s">
        <v>56</v>
      </c>
      <c r="B15" s="2" t="s">
        <v>67</v>
      </c>
      <c r="C15" s="6" t="s">
        <v>66</v>
      </c>
      <c r="D15" s="6" t="s">
        <v>61</v>
      </c>
      <c r="E15" s="10" t="s">
        <v>8</v>
      </c>
      <c r="F15" s="7">
        <v>3541.933</v>
      </c>
    </row>
    <row r="16" spans="1:7" ht="28.8" x14ac:dyDescent="0.55000000000000004">
      <c r="A16" s="4" t="s">
        <v>58</v>
      </c>
      <c r="B16" s="2" t="s">
        <v>67</v>
      </c>
      <c r="C16" s="15" t="s">
        <v>69</v>
      </c>
      <c r="D16" s="15" t="s">
        <v>62</v>
      </c>
      <c r="E16" s="10" t="s">
        <v>8</v>
      </c>
      <c r="F16" s="24">
        <v>3528.297</v>
      </c>
      <c r="G16" s="24"/>
    </row>
    <row r="17" spans="1:7" ht="28.8" x14ac:dyDescent="0.55000000000000004">
      <c r="A17" s="4" t="s">
        <v>60</v>
      </c>
      <c r="B17" s="2" t="s">
        <v>67</v>
      </c>
      <c r="C17" s="6" t="s">
        <v>68</v>
      </c>
      <c r="D17" s="6" t="s">
        <v>63</v>
      </c>
      <c r="E17" s="10" t="s">
        <v>8</v>
      </c>
      <c r="F17" s="7">
        <v>3539.0880000000002</v>
      </c>
    </row>
    <row r="18" spans="1:7" ht="28.8" x14ac:dyDescent="0.55000000000000004">
      <c r="A18" s="4" t="s">
        <v>59</v>
      </c>
      <c r="B18" s="2" t="s">
        <v>67</v>
      </c>
      <c r="C18" s="15" t="s">
        <v>70</v>
      </c>
      <c r="D18" s="15" t="s">
        <v>64</v>
      </c>
      <c r="E18" s="10" t="s">
        <v>8</v>
      </c>
      <c r="F18" s="24">
        <v>3529.4259999999999</v>
      </c>
    </row>
    <row r="19" spans="1:7" x14ac:dyDescent="0.55000000000000004">
      <c r="A19" s="4" t="s">
        <v>86</v>
      </c>
      <c r="B19" s="2" t="s">
        <v>78</v>
      </c>
      <c r="C19" s="15" t="s">
        <v>66</v>
      </c>
      <c r="D19" s="6" t="s">
        <v>88</v>
      </c>
      <c r="E19" s="10" t="s">
        <v>8</v>
      </c>
      <c r="F19" s="7">
        <v>3540.277</v>
      </c>
    </row>
    <row r="20" spans="1:7" x14ac:dyDescent="0.55000000000000004">
      <c r="A20" s="4" t="s">
        <v>87</v>
      </c>
      <c r="B20" s="2" t="s">
        <v>85</v>
      </c>
      <c r="C20" s="6" t="s">
        <v>66</v>
      </c>
      <c r="D20" s="6" t="s">
        <v>89</v>
      </c>
      <c r="E20" s="10" t="s">
        <v>8</v>
      </c>
      <c r="F20" s="7">
        <v>3552.6089999999999</v>
      </c>
    </row>
    <row r="21" spans="1:7" ht="28.8" x14ac:dyDescent="0.55000000000000004">
      <c r="A21" s="15" t="s">
        <v>57</v>
      </c>
      <c r="B21" s="2" t="s">
        <v>67</v>
      </c>
      <c r="C21" s="1" t="s">
        <v>26</v>
      </c>
      <c r="D21" s="15" t="s">
        <v>65</v>
      </c>
      <c r="E21" s="16" t="s">
        <v>84</v>
      </c>
      <c r="F21" s="25">
        <v>3520.3670000000002</v>
      </c>
    </row>
    <row r="22" spans="1:7" s="33" customFormat="1" ht="28.8" x14ac:dyDescent="0.55000000000000004">
      <c r="A22" s="29" t="s">
        <v>71</v>
      </c>
      <c r="B22" s="29" t="s">
        <v>67</v>
      </c>
      <c r="C22" s="29" t="s">
        <v>27</v>
      </c>
      <c r="D22" s="29" t="s">
        <v>72</v>
      </c>
      <c r="E22" s="30" t="s">
        <v>8</v>
      </c>
      <c r="F22" s="31">
        <v>3508.04</v>
      </c>
      <c r="G22" s="32"/>
    </row>
    <row r="23" spans="1:7" ht="28.8" x14ac:dyDescent="0.55000000000000004">
      <c r="A23" s="15" t="s">
        <v>73</v>
      </c>
      <c r="B23" s="15" t="s">
        <v>67</v>
      </c>
      <c r="C23" s="6" t="s">
        <v>24</v>
      </c>
      <c r="D23" s="6" t="s">
        <v>74</v>
      </c>
      <c r="E23" s="23" t="s">
        <v>8</v>
      </c>
      <c r="F23" s="7">
        <v>3539.0880000000002</v>
      </c>
    </row>
    <row r="24" spans="1:7" ht="43.2" x14ac:dyDescent="0.55000000000000004">
      <c r="A24" s="15" t="s">
        <v>75</v>
      </c>
      <c r="B24" s="15" t="s">
        <v>67</v>
      </c>
      <c r="C24" s="15" t="s">
        <v>83</v>
      </c>
      <c r="D24" s="6" t="s">
        <v>76</v>
      </c>
      <c r="E24" s="23" t="s">
        <v>8</v>
      </c>
      <c r="F24" s="7">
        <v>3529.4259999999999</v>
      </c>
    </row>
    <row r="25" spans="1:7" ht="28.8" x14ac:dyDescent="0.55000000000000004">
      <c r="A25" s="15" t="s">
        <v>77</v>
      </c>
      <c r="B25" s="15" t="s">
        <v>78</v>
      </c>
      <c r="C25" s="15" t="s">
        <v>26</v>
      </c>
      <c r="D25" s="15" t="s">
        <v>79</v>
      </c>
      <c r="E25" s="16" t="s">
        <v>84</v>
      </c>
      <c r="F25" s="25">
        <v>3518.37</v>
      </c>
    </row>
    <row r="26" spans="1:7" ht="28.8" x14ac:dyDescent="0.55000000000000004">
      <c r="A26" s="15" t="s">
        <v>80</v>
      </c>
      <c r="B26" s="15" t="s">
        <v>81</v>
      </c>
      <c r="C26" s="15" t="s">
        <v>26</v>
      </c>
      <c r="D26" s="6" t="s">
        <v>82</v>
      </c>
      <c r="E26" s="23" t="s">
        <v>8</v>
      </c>
      <c r="F26" s="7">
        <v>3532.1390000000001</v>
      </c>
    </row>
    <row r="27" spans="1:7" ht="28.8" x14ac:dyDescent="0.55000000000000004">
      <c r="A27" s="6" t="s">
        <v>90</v>
      </c>
      <c r="B27" s="6" t="s">
        <v>67</v>
      </c>
      <c r="C27" s="6" t="s">
        <v>48</v>
      </c>
      <c r="D27" s="6" t="s">
        <v>93</v>
      </c>
      <c r="E27" s="23" t="s">
        <v>8</v>
      </c>
      <c r="F27" s="7">
        <v>3507.8820000000001</v>
      </c>
    </row>
    <row r="28" spans="1:7" s="33" customFormat="1" ht="28.8" x14ac:dyDescent="0.55000000000000004">
      <c r="A28" s="28" t="s">
        <v>92</v>
      </c>
      <c r="B28" s="28" t="s">
        <v>78</v>
      </c>
      <c r="C28" s="28" t="s">
        <v>48</v>
      </c>
      <c r="D28" s="28" t="s">
        <v>94</v>
      </c>
      <c r="E28" s="26" t="s">
        <v>8</v>
      </c>
      <c r="F28" s="27">
        <v>3505.9969999999998</v>
      </c>
      <c r="G28" s="32"/>
    </row>
    <row r="29" spans="1:7" ht="28.8" x14ac:dyDescent="0.55000000000000004">
      <c r="A29" s="6" t="s">
        <v>91</v>
      </c>
      <c r="B29" s="6" t="s">
        <v>81</v>
      </c>
      <c r="C29" s="6" t="s">
        <v>48</v>
      </c>
      <c r="D29" s="6" t="s">
        <v>95</v>
      </c>
      <c r="E29" s="23" t="s">
        <v>8</v>
      </c>
      <c r="F29" s="7">
        <v>3515.2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</dc:creator>
  <cp:lastModifiedBy>caseylo@student.ubc.ca</cp:lastModifiedBy>
  <dcterms:created xsi:type="dcterms:W3CDTF">2026-03-03T00:01:54Z</dcterms:created>
  <dcterms:modified xsi:type="dcterms:W3CDTF">2026-03-07T07:28:33Z</dcterms:modified>
</cp:coreProperties>
</file>